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barato" sheetId="1" state="visible" r:id="rId1"/>
    <sheet xmlns:r="http://schemas.openxmlformats.org/officeDocument/2006/relationships" name="Cómo ped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MXN &quot;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C2410C"/>
      <sz val="16"/>
    </font>
    <font>
      <b val="1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FE8D5"/>
      </patternFill>
    </fill>
    <fill>
      <patternFill patternType="solid">
        <fgColor rgb="00111111"/>
      </patternFill>
    </fill>
    <fill>
      <patternFill patternType="solid">
        <fgColor rgb="00E8F0FE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3" fillId="2" borderId="0" pivotButton="0" quotePrefix="0" xfId="0"/>
    <xf numFmtId="0" fontId="0" fillId="2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4" customWidth="1" min="3" max="3"/>
    <col width="5" customWidth="1" min="4" max="4"/>
    <col width="6" customWidth="1" min="5" max="5"/>
    <col width="11" customWidth="1" min="6" max="6"/>
    <col width="11" customWidth="1" min="7" max="7"/>
    <col width="12" customWidth="1" min="8" max="8"/>
    <col width="26" customWidth="1" min="9" max="9"/>
    <col width="40" customWidth="1" min="10" max="10"/>
  </cols>
  <sheetData>
    <row r="1">
      <c r="A1" s="1" t="inlineStr">
        <is>
          <t>MVP BARATO — fingertip-only OSMO (1 glove)</t>
        </is>
      </c>
    </row>
    <row r="2">
      <c r="A2" s="2" t="inlineStr">
        <is>
          <t>5 taxels · no palm · no cams · clone ST-Link · SWD header · Tec magnetizer · MQFP quote placeholder</t>
        </is>
      </c>
    </row>
    <row r="4">
      <c r="A4" s="3" t="inlineStr">
        <is>
          <t>TOTAL USD</t>
        </is>
      </c>
      <c r="B4" s="4">
        <f>G35</f>
        <v/>
      </c>
      <c r="C4" s="5" t="inlineStr">
        <is>
          <t>Est. MXN</t>
        </is>
      </c>
      <c r="D4" s="6">
        <f>H35</f>
        <v/>
      </c>
    </row>
    <row r="5">
      <c r="A5" t="inlineStr">
        <is>
          <t>If MQFP sample /$0</t>
        </is>
      </c>
      <c r="B5" s="7">
        <f>G35-G18</f>
        <v/>
      </c>
      <c r="D5" s="8">
        <f>H35-H18</f>
        <v/>
      </c>
    </row>
    <row r="7">
      <c r="A7" t="inlineStr">
        <is>
          <t>vs full ~$1400</t>
        </is>
      </c>
    </row>
    <row r="8">
      <c r="A8" t="inlineStr">
        <is>
          <t>• No palm → −~$150</t>
        </is>
      </c>
    </row>
    <row r="9">
      <c r="A9" t="inlineStr">
        <is>
          <t>• No Seneca cams → −~$230</t>
        </is>
      </c>
    </row>
    <row r="10">
      <c r="A10" t="inlineStr">
        <is>
          <t>• No TagConnect/V3/flux/iron → −~$150</t>
        </is>
      </c>
    </row>
    <row r="11">
      <c r="A11" t="inlineStr">
        <is>
          <t>• Cheaper MuMetal + 1 Sil-Poxy → −~$80</t>
        </is>
      </c>
    </row>
    <row r="12">
      <c r="A12" t="inlineStr">
        <is>
          <t>• → ~$627 (see formula totals)</t>
        </is>
      </c>
    </row>
    <row r="14">
      <c r="A14" s="9" t="inlineStr">
        <is>
          <t>#</t>
        </is>
      </c>
      <c r="B14" s="9" t="inlineStr">
        <is>
          <t>Group</t>
        </is>
      </c>
      <c r="C14" s="9" t="inlineStr">
        <is>
          <t>Item</t>
        </is>
      </c>
      <c r="D14" s="9" t="inlineStr">
        <is>
          <t>Qty</t>
        </is>
      </c>
      <c r="E14" s="9" t="inlineStr">
        <is>
          <t>Unit</t>
        </is>
      </c>
      <c r="F14" s="9" t="inlineStr">
        <is>
          <t>Unit USD</t>
        </is>
      </c>
      <c r="G14" s="9" t="inlineStr">
        <is>
          <t>Ext USD</t>
        </is>
      </c>
      <c r="H14" s="9" t="inlineStr">
        <is>
          <t>Est MXN</t>
        </is>
      </c>
      <c r="I14" s="9" t="inlineStr">
        <is>
          <t>Buy from</t>
        </is>
      </c>
      <c r="J14" s="9" t="inlineStr">
        <is>
          <t>Notes</t>
        </is>
      </c>
    </row>
    <row r="15">
      <c r="A15" s="10" t="n">
        <v>1</v>
      </c>
      <c r="B15" s="11" t="inlineStr">
        <is>
          <t>PCB</t>
        </is>
      </c>
      <c r="C15" s="10" t="inlineStr">
        <is>
          <t>MCU board PCBA</t>
        </is>
      </c>
      <c r="D15" s="10" t="n">
        <v>1</v>
      </c>
      <c r="E15" s="10" t="inlineStr">
        <is>
          <t>ea</t>
        </is>
      </c>
      <c r="F15" s="12" t="n">
        <v>85</v>
      </c>
      <c r="G15" s="12">
        <f>D15*F15</f>
        <v/>
      </c>
      <c r="H15" s="13" t="n">
        <v>1955</v>
      </c>
      <c r="I15" s="10" t="inlineStr">
        <is>
          <t>JLCPCB/PCBWay</t>
        </is>
      </c>
      <c r="J15" s="10" t="inlineStr">
        <is>
          <t>1 board enough</t>
        </is>
      </c>
    </row>
    <row r="16">
      <c r="A16" s="10" t="n">
        <v>2</v>
      </c>
      <c r="B16" s="11" t="inlineStr">
        <is>
          <t>PCB</t>
        </is>
      </c>
      <c r="C16" s="10" t="inlineStr">
        <is>
          <t>Sensor board PCBA (fingertip only)</t>
        </is>
      </c>
      <c r="D16" s="10" t="n">
        <v>7</v>
      </c>
      <c r="E16" s="10" t="inlineStr">
        <is>
          <t>ea</t>
        </is>
      </c>
      <c r="F16" s="12" t="n">
        <v>22</v>
      </c>
      <c r="G16" s="12">
        <f>D16*F16</f>
        <v/>
      </c>
      <c r="H16" s="13" t="n">
        <v>3542</v>
      </c>
      <c r="I16" s="10" t="inlineStr">
        <is>
          <t>JLCPCB/PCBWay</t>
        </is>
      </c>
      <c r="J16" s="10" t="inlineStr">
        <is>
          <t>5 fingers + 2 spare. No palm.</t>
        </is>
      </c>
    </row>
    <row r="17">
      <c r="A17" s="10" t="n">
        <v>3</v>
      </c>
      <c r="B17" s="10" t="inlineStr">
        <is>
          <t>Magnetics</t>
        </is>
      </c>
      <c r="C17" s="10" t="inlineStr">
        <is>
          <t>MuMetal small sheet / scrap</t>
        </is>
      </c>
      <c r="D17" s="10" t="n">
        <v>1</v>
      </c>
      <c r="E17" s="10" t="inlineStr">
        <is>
          <t>lot</t>
        </is>
      </c>
      <c r="F17" s="12" t="n">
        <v>40</v>
      </c>
      <c r="G17" s="12">
        <f>D17*F17</f>
        <v/>
      </c>
      <c r="H17" s="13" t="n">
        <v>920</v>
      </c>
      <c r="I17" s="10" t="inlineStr">
        <is>
          <t>DigiKey/Amazon+forwarder</t>
        </is>
      </c>
      <c r="J17" s="10" t="inlineStr">
        <is>
          <t>Only 5–7 pcs 11×12mm</t>
        </is>
      </c>
    </row>
    <row r="18">
      <c r="A18" s="10" t="n">
        <v>4</v>
      </c>
      <c r="B18" s="10" t="inlineStr">
        <is>
          <t>Magnetics</t>
        </is>
      </c>
      <c r="C18" s="14" t="inlineStr">
        <is>
          <t>MQFP-15-7 powder (20g lot)</t>
        </is>
      </c>
      <c r="D18" s="10" t="n">
        <v>1</v>
      </c>
      <c r="E18" s="10" t="inlineStr">
        <is>
          <t>lot</t>
        </is>
      </c>
      <c r="F18" s="12" t="n">
        <v>150</v>
      </c>
      <c r="G18" s="12">
        <f>D18*F18</f>
        <v/>
      </c>
      <c r="H18" s="13" t="n">
        <v>3450</v>
      </c>
      <c r="I18" s="10" t="inlineStr">
        <is>
          <t>Magnequench quote</t>
        </is>
      </c>
      <c r="J18" s="10" t="inlineStr">
        <is>
          <t>PLACEHOLDER until quote. Ask min sample. NOT MQP.</t>
        </is>
      </c>
    </row>
    <row r="19">
      <c r="A19" s="10" t="n">
        <v>5</v>
      </c>
      <c r="B19" s="10" t="inlineStr">
        <is>
          <t>Silicone</t>
        </is>
      </c>
      <c r="C19" s="10" t="inlineStr">
        <is>
          <t>Ecoflex 00-30 trial kit</t>
        </is>
      </c>
      <c r="D19" s="10" t="n">
        <v>1</v>
      </c>
      <c r="E19" s="10" t="inlineStr">
        <is>
          <t>kit</t>
        </is>
      </c>
      <c r="F19" s="12" t="n">
        <v>36</v>
      </c>
      <c r="G19" s="12">
        <f>D19*F19</f>
        <v/>
      </c>
      <c r="H19" s="13" t="n">
        <v>756</v>
      </c>
      <c r="I19" s="10" t="inlineStr">
        <is>
          <t>Amazon.com.mx</t>
        </is>
      </c>
      <c r="J19" s="10" t="inlineStr"/>
    </row>
    <row r="20">
      <c r="A20" s="10" t="n">
        <v>6</v>
      </c>
      <c r="B20" s="10" t="inlineStr">
        <is>
          <t>Silicone</t>
        </is>
      </c>
      <c r="C20" s="10" t="inlineStr">
        <is>
          <t>Sil-Poxy 3 oz</t>
        </is>
      </c>
      <c r="D20" s="10" t="n">
        <v>1</v>
      </c>
      <c r="E20" s="10" t="inlineStr">
        <is>
          <t>tube</t>
        </is>
      </c>
      <c r="F20" s="12" t="n">
        <v>33</v>
      </c>
      <c r="G20" s="12">
        <f>D20*F20</f>
        <v/>
      </c>
      <c r="H20" s="13" t="n">
        <v>693</v>
      </c>
      <c r="I20" s="10" t="inlineStr">
        <is>
          <t>Amazon.com.mx</t>
        </is>
      </c>
      <c r="J20" s="10" t="inlineStr">
        <is>
          <t>One tube</t>
        </is>
      </c>
    </row>
    <row r="21">
      <c r="A21" s="10" t="n">
        <v>7</v>
      </c>
      <c r="B21" s="10" t="inlineStr">
        <is>
          <t>Wiring</t>
        </is>
      </c>
      <c r="C21" s="10" t="inlineStr">
        <is>
          <t>28 AWG enamel wire</t>
        </is>
      </c>
      <c r="D21" s="10" t="n">
        <v>1</v>
      </c>
      <c r="E21" s="10" t="inlineStr">
        <is>
          <t>spool</t>
        </is>
      </c>
      <c r="F21" s="12" t="n">
        <v>9</v>
      </c>
      <c r="G21" s="12">
        <f>D21*F21</f>
        <v/>
      </c>
      <c r="H21" s="13" t="n">
        <v>189</v>
      </c>
      <c r="I21" s="10" t="inlineStr">
        <is>
          <t>Amazon.com.mx</t>
        </is>
      </c>
      <c r="J21" s="10" t="inlineStr">
        <is>
          <t>Skip Maeden</t>
        </is>
      </c>
    </row>
    <row r="22">
      <c r="A22" s="10" t="n">
        <v>8</v>
      </c>
      <c r="B22" s="10" t="inlineStr">
        <is>
          <t>Glove</t>
        </is>
      </c>
      <c r="C22" s="10" t="inlineStr">
        <is>
          <t>Beige thin gloves</t>
        </is>
      </c>
      <c r="D22" s="10" t="n">
        <v>2</v>
      </c>
      <c r="E22" s="10" t="inlineStr">
        <is>
          <t>pair</t>
        </is>
      </c>
      <c r="F22" s="12" t="n">
        <v>4</v>
      </c>
      <c r="G22" s="12">
        <f>D22*F22</f>
        <v/>
      </c>
      <c r="H22" s="13" t="n">
        <v>168</v>
      </c>
      <c r="I22" s="10" t="inlineStr">
        <is>
          <t>Amazon.com.mx / ML</t>
        </is>
      </c>
      <c r="J22" s="10" t="inlineStr"/>
    </row>
    <row r="23">
      <c r="A23" s="10" t="n">
        <v>9</v>
      </c>
      <c r="B23" s="10" t="inlineStr">
        <is>
          <t>Consumable</t>
        </is>
      </c>
      <c r="C23" s="10" t="inlineStr">
        <is>
          <t>Kapton tape</t>
        </is>
      </c>
      <c r="D23" s="10" t="n">
        <v>1</v>
      </c>
      <c r="E23" s="10" t="inlineStr">
        <is>
          <t>roll</t>
        </is>
      </c>
      <c r="F23" s="12" t="n">
        <v>10</v>
      </c>
      <c r="G23" s="12">
        <f>D23*F23</f>
        <v/>
      </c>
      <c r="H23" s="13" t="n">
        <v>210</v>
      </c>
      <c r="I23" s="10" t="inlineStr">
        <is>
          <t>Amazon.com.mx</t>
        </is>
      </c>
      <c r="J23" s="10" t="inlineStr"/>
    </row>
    <row r="24">
      <c r="A24" s="10" t="n">
        <v>10</v>
      </c>
      <c r="B24" s="10" t="inlineStr">
        <is>
          <t>Programming</t>
        </is>
      </c>
      <c r="C24" s="10" t="inlineStr">
        <is>
          <t>ST-Link V2 clone</t>
        </is>
      </c>
      <c r="D24" s="10" t="n">
        <v>1</v>
      </c>
      <c r="E24" s="10" t="inlineStr">
        <is>
          <t>ea</t>
        </is>
      </c>
      <c r="F24" s="12" t="n">
        <v>8</v>
      </c>
      <c r="G24" s="12">
        <f>D24*F24</f>
        <v/>
      </c>
      <c r="H24" s="13" t="n">
        <v>176</v>
      </c>
      <c r="I24" s="10" t="inlineStr">
        <is>
          <t>Mercado Libre</t>
        </is>
      </c>
      <c r="J24" s="10" t="inlineStr">
        <is>
          <t>Official V3MINIE=$25 if preferred</t>
        </is>
      </c>
    </row>
    <row r="25">
      <c r="A25" s="10" t="n">
        <v>11</v>
      </c>
      <c r="B25" s="10" t="inlineStr">
        <is>
          <t>Programming</t>
        </is>
      </c>
      <c r="C25" s="10" t="inlineStr">
        <is>
          <t>SWD header 1.27mm + jumpers</t>
        </is>
      </c>
      <c r="D25" s="10" t="n">
        <v>1</v>
      </c>
      <c r="E25" s="10" t="inlineStr">
        <is>
          <t>set</t>
        </is>
      </c>
      <c r="F25" s="12" t="n">
        <v>2</v>
      </c>
      <c r="G25" s="12">
        <f>D25*F25</f>
        <v/>
      </c>
      <c r="H25" s="13" t="n">
        <v>44</v>
      </c>
      <c r="I25" s="10" t="inlineStr">
        <is>
          <t>Steren / ML</t>
        </is>
      </c>
      <c r="J25" s="10" t="inlineStr">
        <is>
          <t>Skip TagConnect $45</t>
        </is>
      </c>
    </row>
    <row r="26">
      <c r="A26" s="10" t="n">
        <v>12</v>
      </c>
      <c r="B26" s="10" t="inlineStr">
        <is>
          <t>Cable</t>
        </is>
      </c>
      <c r="C26" s="10" t="inlineStr">
        <is>
          <t>USB-C data cable</t>
        </is>
      </c>
      <c r="D26" s="10" t="n">
        <v>1</v>
      </c>
      <c r="E26" s="10" t="inlineStr">
        <is>
          <t>ea</t>
        </is>
      </c>
      <c r="F26" s="12" t="n">
        <v>8</v>
      </c>
      <c r="G26" s="12">
        <f>D26*F26</f>
        <v/>
      </c>
      <c r="H26" s="13" t="n">
        <v>168</v>
      </c>
      <c r="I26" s="10" t="inlineStr">
        <is>
          <t>Amazon.com.mx</t>
        </is>
      </c>
      <c r="J26" s="10" t="inlineStr"/>
    </row>
    <row r="27">
      <c r="A27" s="10" t="n">
        <v>13</v>
      </c>
      <c r="B27" s="10" t="inlineStr">
        <is>
          <t>Tool</t>
        </is>
      </c>
      <c r="C27" s="10" t="inlineStr">
        <is>
          <t>Solder + basic flux</t>
        </is>
      </c>
      <c r="D27" s="10" t="n">
        <v>1</v>
      </c>
      <c r="E27" s="10" t="inlineStr">
        <is>
          <t>set</t>
        </is>
      </c>
      <c r="F27" s="12" t="n">
        <v>12</v>
      </c>
      <c r="G27" s="12">
        <f>D27*F27</f>
        <v/>
      </c>
      <c r="H27" s="13" t="n">
        <v>252</v>
      </c>
      <c r="I27" s="10" t="inlineStr">
        <is>
          <t>Steren</t>
        </is>
      </c>
      <c r="J27" s="10" t="inlineStr"/>
    </row>
    <row r="28">
      <c r="A28" s="10" t="n">
        <v>14</v>
      </c>
      <c r="B28" s="10" t="inlineStr">
        <is>
          <t>Tool</t>
        </is>
      </c>
      <c r="C28" s="10" t="inlineStr">
        <is>
          <t>Multimeter</t>
        </is>
      </c>
      <c r="D28" s="10" t="n">
        <v>1</v>
      </c>
      <c r="E28" s="10" t="inlineStr">
        <is>
          <t>ea</t>
        </is>
      </c>
      <c r="F28" s="12" t="n">
        <v>0</v>
      </c>
      <c r="G28" s="12">
        <f>D28*F28</f>
        <v/>
      </c>
      <c r="H28" s="13" t="n">
        <v>0</v>
      </c>
      <c r="I28" s="10" t="inlineStr">
        <is>
          <t>Borrow</t>
        </is>
      </c>
      <c r="J28" s="10" t="inlineStr">
        <is>
          <t>Buy ~$18 if needed</t>
        </is>
      </c>
    </row>
    <row r="29">
      <c r="A29" s="10" t="n">
        <v>15</v>
      </c>
      <c r="B29" s="10" t="inlineStr">
        <is>
          <t>Tool</t>
        </is>
      </c>
      <c r="C29" s="10" t="inlineStr">
        <is>
          <t>Gram scale 0.1g</t>
        </is>
      </c>
      <c r="D29" s="10" t="n">
        <v>1</v>
      </c>
      <c r="E29" s="10" t="inlineStr">
        <is>
          <t>ea</t>
        </is>
      </c>
      <c r="F29" s="12" t="n">
        <v>12</v>
      </c>
      <c r="G29" s="12">
        <f>D29*F29</f>
        <v/>
      </c>
      <c r="H29" s="13" t="n">
        <v>252</v>
      </c>
      <c r="I29" s="10" t="inlineStr">
        <is>
          <t>Amazon.com.mx</t>
        </is>
      </c>
      <c r="J29" s="10" t="inlineStr"/>
    </row>
    <row r="30">
      <c r="A30" s="10" t="n">
        <v>16</v>
      </c>
      <c r="B30" s="10" t="inlineStr">
        <is>
          <t>Tool</t>
        </is>
      </c>
      <c r="C30" s="10" t="inlineStr">
        <is>
          <t>Cups, sticks, cotton, sandpaper, knife</t>
        </is>
      </c>
      <c r="D30" s="10" t="n">
        <v>1</v>
      </c>
      <c r="E30" s="10" t="inlineStr">
        <is>
          <t>kit</t>
        </is>
      </c>
      <c r="F30" s="12" t="n">
        <v>15</v>
      </c>
      <c r="G30" s="12">
        <f>D30*F30</f>
        <v/>
      </c>
      <c r="H30" s="13" t="n">
        <v>315</v>
      </c>
      <c r="I30" s="10" t="inlineStr">
        <is>
          <t>Local</t>
        </is>
      </c>
      <c r="J30" s="10" t="inlineStr"/>
    </row>
    <row r="31">
      <c r="A31" s="10" t="n">
        <v>17</v>
      </c>
      <c r="B31" s="10" t="inlineStr">
        <is>
          <t>Tool</t>
        </is>
      </c>
      <c r="C31" s="10" t="inlineStr">
        <is>
          <t>Mold release spray</t>
        </is>
      </c>
      <c r="D31" s="10" t="n">
        <v>1</v>
      </c>
      <c r="E31" s="10" t="inlineStr">
        <is>
          <t>can</t>
        </is>
      </c>
      <c r="F31" s="12" t="n">
        <v>15</v>
      </c>
      <c r="G31" s="12">
        <f>D31*F31</f>
        <v/>
      </c>
      <c r="H31" s="13" t="n">
        <v>315</v>
      </c>
      <c r="I31" s="10" t="inlineStr">
        <is>
          <t>Amazon.com.mx</t>
        </is>
      </c>
      <c r="J31" s="10" t="inlineStr"/>
    </row>
    <row r="32">
      <c r="A32" s="10" t="n">
        <v>18</v>
      </c>
      <c r="B32" s="10" t="inlineStr">
        <is>
          <t>Fab</t>
        </is>
      </c>
      <c r="C32" s="10" t="inlineStr">
        <is>
          <t>Resin molds fingertips only</t>
        </is>
      </c>
      <c r="D32" s="10" t="n">
        <v>1</v>
      </c>
      <c r="E32" s="10" t="inlineStr">
        <is>
          <t>set</t>
        </is>
      </c>
      <c r="F32" s="12" t="n">
        <v>30</v>
      </c>
      <c r="G32" s="12">
        <f>D32*F32</f>
        <v/>
      </c>
      <c r="H32" s="13" t="n">
        <v>630</v>
      </c>
      <c r="I32" s="10" t="inlineStr">
        <is>
          <t>MTY print shop</t>
        </is>
      </c>
      <c r="J32" s="10" t="inlineStr"/>
    </row>
    <row r="33">
      <c r="A33" s="10" t="n">
        <v>19</v>
      </c>
      <c r="B33" s="10" t="inlineStr">
        <is>
          <t>Service</t>
        </is>
      </c>
      <c r="C33" s="10" t="inlineStr">
        <is>
          <t>Pulse magnetizer access</t>
        </is>
      </c>
      <c r="D33" s="10" t="n">
        <v>1</v>
      </c>
      <c r="E33" s="10" t="inlineStr">
        <is>
          <t>access</t>
        </is>
      </c>
      <c r="F33" s="12" t="n">
        <v>0</v>
      </c>
      <c r="G33" s="12">
        <f>D33*F33</f>
        <v/>
      </c>
      <c r="H33" s="13" t="n">
        <v>0</v>
      </c>
      <c r="I33" s="10" t="inlineStr">
        <is>
          <t>Tec lab</t>
        </is>
      </c>
      <c r="J33" s="10" t="inlineStr">
        <is>
          <t>Must confirm before build</t>
        </is>
      </c>
    </row>
    <row r="34">
      <c r="A34" s="10" t="n">
        <v>20</v>
      </c>
      <c r="B34" s="10" t="inlineStr">
        <is>
          <t>Host</t>
        </is>
      </c>
      <c r="C34" s="10" t="inlineStr">
        <is>
          <t>Linux laptop</t>
        </is>
      </c>
      <c r="D34" s="10" t="n">
        <v>1</v>
      </c>
      <c r="E34" s="10" t="inlineStr">
        <is>
          <t>ea</t>
        </is>
      </c>
      <c r="F34" s="12" t="n">
        <v>0</v>
      </c>
      <c r="G34" s="12">
        <f>D34*F34</f>
        <v/>
      </c>
      <c r="H34" s="13" t="n">
        <v>0</v>
      </c>
      <c r="I34" s="10" t="inlineStr">
        <is>
          <t>Owned</t>
        </is>
      </c>
      <c r="J34" s="10" t="inlineStr"/>
    </row>
    <row r="35">
      <c r="A35" s="15" t="n"/>
      <c r="B35" s="15" t="n"/>
      <c r="C35" s="15" t="inlineStr">
        <is>
          <t>TOTAL</t>
        </is>
      </c>
      <c r="D35" s="15" t="n"/>
      <c r="E35" s="15" t="n"/>
      <c r="F35" s="15" t="n"/>
      <c r="G35" s="16">
        <f>SUM(G15:G34)</f>
        <v/>
      </c>
      <c r="H35" s="17">
        <f>SUM(H15:H34)</f>
        <v/>
      </c>
      <c r="I35" s="15" t="n"/>
      <c r="J35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8" t="inlineStr">
        <is>
          <t>Orden de compra</t>
        </is>
      </c>
    </row>
    <row r="3">
      <c r="A3" t="inlineStr">
        <is>
          <t>1. Magnequench MQFP-15-7 sample/quote (NOT MQP).</t>
        </is>
      </c>
    </row>
    <row r="4">
      <c r="A4" t="inlineStr">
        <is>
          <t>2. JLCPCB/PCBWay: 1–2 MCU + 7 sensor PCBA.</t>
        </is>
      </c>
    </row>
    <row r="5">
      <c r="A5" t="inlineStr">
        <is>
          <t>3. Confirma magnetizer Tec antes de skins.</t>
        </is>
      </c>
    </row>
    <row r="6">
      <c r="A6" t="inlineStr">
        <is>
          <t>4. Amazon MX: Ecoflex, Sil-Poxy, wire, gloves, Kapton, USB, scale, mold release.</t>
        </is>
      </c>
    </row>
    <row r="7">
      <c r="A7" t="inlineStr">
        <is>
          <t>5. ML/Steren: ST-Link clone + SWD header + solder.</t>
        </is>
      </c>
    </row>
    <row r="8">
      <c r="A8" t="inlineStr">
        <is>
          <t>6. MuMetal lote chico para 7 piezas.</t>
        </is>
      </c>
    </row>
    <row r="9">
      <c r="A9" t="inlineStr">
        <is>
          <t>7. Cámaras después — celular para software.</t>
        </is>
      </c>
    </row>
    <row r="10">
      <c r="A10" t="inlineStr"/>
    </row>
    <row r="11">
      <c r="A11" t="inlineStr">
        <is>
          <t>Done: 5 fingertips stream USB + 1 demo corta.</t>
        </is>
      </c>
    </row>
    <row r="12">
      <c r="A12" t="inlineStr"/>
    </row>
    <row r="13">
      <c r="A13" t="inlineStr">
        <is>
          <t>Sheet formulas: Ext USD = Qty×Unit USD; TOTAL Est MXN = SUM(H:H 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2026-07-23T21:30:31Z</dcterms:created>
  <dcterms:modified xmlns:dcterms="http://purl.org/dc/terms/" xmlns:xsi="http://www.w3.org/2001/XMLSchema-instance" xsi:type="dcterms:W3CDTF">2026-07-23T21:30:31Z</dcterms:modified>
</cp:coreProperties>
</file>