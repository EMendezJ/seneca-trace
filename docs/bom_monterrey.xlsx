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Buy order" sheetId="3" state="visible" r:id="rId3"/>
  </sheets>
  <definedNames>
    <definedName name="_xlnm._FilterDatabase" localSheetId="1" hidden="1">'BOM'!$A$1:$L$28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MXN &quot;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8E1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FE8D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6" borderId="0" pivotButton="0" quotePrefix="0" xfId="0"/>
    <xf numFmtId="164" fontId="4" fillId="6" borderId="0" pivotButton="0" quotePrefix="0" xfId="0"/>
    <xf numFmtId="165" fontId="4" fillId="6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6" customWidth="1" min="3" max="3"/>
  </cols>
  <sheetData>
    <row r="1">
      <c r="A1" s="1" t="inlineStr">
        <is>
          <t>Seneca Trace / OSMO glove — BOM Summary (1 glove full)</t>
        </is>
      </c>
    </row>
    <row r="2">
      <c r="A2" s="2" t="inlineStr">
        <is>
          <t>Totals are formulas from BOM sheet. Re-quote PCBA/MQFP before buying.</t>
        </is>
      </c>
    </row>
    <row r="3">
      <c r="A3" s="3" t="inlineStr">
        <is>
          <t>Metric</t>
        </is>
      </c>
      <c r="B3" s="3" t="inlineStr">
        <is>
          <t>USD</t>
        </is>
      </c>
      <c r="C3" s="3" t="inlineStr">
        <is>
          <t>Est. MXN</t>
        </is>
      </c>
    </row>
    <row r="4">
      <c r="A4" s="4" t="inlineStr">
        <is>
          <t>TOTAL (all lines)</t>
        </is>
      </c>
      <c r="B4" s="5">
        <f>BOM!G29</f>
        <v/>
      </c>
      <c r="C4" s="6">
        <f>BOM!H29</f>
        <v/>
      </c>
    </row>
    <row r="6">
      <c r="A6" t="inlineStr">
        <is>
          <t>Bucket sums use SUMIF on BOM!B (Group) and BOM!H / BOM!G</t>
        </is>
      </c>
    </row>
    <row r="7">
      <c r="A7" t="inlineStr">
        <is>
          <t>Edit unit prices in BOM!F — Ext USD and totals recalculate.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8" customWidth="1" min="3" max="3"/>
    <col width="6" customWidth="1" min="4" max="4"/>
    <col width="8" customWidth="1" min="5" max="5"/>
    <col width="11" customWidth="1" min="6" max="6"/>
    <col width="11" customWidth="1" min="7" max="7"/>
    <col width="14" customWidth="1" min="8" max="8"/>
    <col width="36" customWidth="1" min="9" max="9"/>
    <col width="40" customWidth="1" min="10" max="10"/>
    <col width="10" customWidth="1" min="11" max="11"/>
    <col width="40" customWidth="1" min="12" max="12"/>
  </cols>
  <sheetData>
    <row r="1">
      <c r="A1" s="3" t="inlineStr">
        <is>
          <t>#</t>
        </is>
      </c>
      <c r="B1" s="3" t="inlineStr">
        <is>
          <t>Group</t>
        </is>
      </c>
      <c r="C1" s="3" t="inlineStr">
        <is>
          <t>Item</t>
        </is>
      </c>
      <c r="D1" s="3" t="inlineStr">
        <is>
          <t>Qty</t>
        </is>
      </c>
      <c r="E1" s="3" t="inlineStr">
        <is>
          <t>Unit</t>
        </is>
      </c>
      <c r="F1" s="3" t="inlineStr">
        <is>
          <t>Unit USD</t>
        </is>
      </c>
      <c r="G1" s="3" t="inlineStr">
        <is>
          <t>Ext USD</t>
        </is>
      </c>
      <c r="H1" s="3" t="inlineStr">
        <is>
          <t>Est MXN landed</t>
        </is>
      </c>
      <c r="I1" s="3" t="inlineStr">
        <is>
          <t>Buy from</t>
        </is>
      </c>
      <c r="J1" s="3" t="inlineStr">
        <is>
          <t>Price basis</t>
        </is>
      </c>
      <c r="K1" s="3" t="inlineStr">
        <is>
          <t>Confidence</t>
        </is>
      </c>
      <c r="L1" s="3" t="inlineStr">
        <is>
          <t>Notes</t>
        </is>
      </c>
    </row>
    <row r="2">
      <c r="A2" s="7" t="n">
        <v>1</v>
      </c>
      <c r="B2" s="7" t="inlineStr">
        <is>
          <t>PCB</t>
        </is>
      </c>
      <c r="C2" s="7" t="inlineStr">
        <is>
          <t>MCU board PCBA (STM32F446RET6 + power/USB/I2C mux)</t>
        </is>
      </c>
      <c r="D2" s="7" t="n">
        <v>1</v>
      </c>
      <c r="E2" s="7" t="inlineStr">
        <is>
          <t>ea</t>
        </is>
      </c>
      <c r="F2" s="8" t="n">
        <v>95</v>
      </c>
      <c r="G2" s="8">
        <f>D2*F2</f>
        <v/>
      </c>
      <c r="H2" s="9" t="n">
        <v>2185</v>
      </c>
      <c r="I2" s="7" t="inlineStr">
        <is>
          <t>JLCPCB or PCBWay → DHL MTY</t>
        </is>
      </c>
      <c r="J2" s="7" t="inlineStr">
        <is>
          <t>Estimate small-run PCBA incl. parts+asm</t>
        </is>
      </c>
      <c r="K2" s="10" t="inlineStr">
        <is>
          <t>med</t>
        </is>
      </c>
      <c r="L2" s="7" t="inlineStr">
        <is>
          <t>Order 2–3 boards. Includes STM32F446RET6 TCA9548A BQ21080 passives.</t>
        </is>
      </c>
    </row>
    <row r="3">
      <c r="A3" s="7" t="n">
        <v>2</v>
      </c>
      <c r="B3" s="7" t="inlineStr">
        <is>
          <t>PCB</t>
        </is>
      </c>
      <c r="C3" s="7" t="inlineStr">
        <is>
          <t>Sensor board PCBA (2×BMM350 + BHI360 + TCA9406)</t>
        </is>
      </c>
      <c r="D3" s="7" t="n">
        <v>15</v>
      </c>
      <c r="E3" s="7" t="inlineStr">
        <is>
          <t>ea</t>
        </is>
      </c>
      <c r="F3" s="8" t="n">
        <v>22</v>
      </c>
      <c r="G3" s="8">
        <f>D3*F3</f>
        <v/>
      </c>
      <c r="H3" s="9" t="n">
        <v>7590</v>
      </c>
      <c r="I3" s="7" t="inlineStr">
        <is>
          <t>JLCPCB or PCBWay → DHL MTY</t>
        </is>
      </c>
      <c r="J3" s="7" t="inlineStr">
        <is>
          <t>Parts ~$11 (2×$2.17 BMM350 LCSC + ~$5.74 BHI360) + PCB/asm ~$11</t>
        </is>
      </c>
      <c r="K3" s="10" t="inlineStr">
        <is>
          <t>med</t>
        </is>
      </c>
      <c r="L3" s="7" t="inlineStr">
        <is>
          <t>12 for glove + 3 spare. Confirm Bosch stock before fab.</t>
        </is>
      </c>
    </row>
    <row r="4">
      <c r="A4" s="7" t="n">
        <v>3</v>
      </c>
      <c r="B4" s="7" t="inlineStr">
        <is>
          <t>Magnetics</t>
        </is>
      </c>
      <c r="C4" s="7" t="inlineStr">
        <is>
          <t>MuMetal sheet 0.006in × 8×12in</t>
        </is>
      </c>
      <c r="D4" s="7" t="n">
        <v>1</v>
      </c>
      <c r="E4" s="7" t="inlineStr">
        <is>
          <t>sheet</t>
        </is>
      </c>
      <c r="F4" s="8" t="n">
        <v>79.98999999999999</v>
      </c>
      <c r="G4" s="8">
        <f>D4*F4</f>
        <v/>
      </c>
      <c r="H4" s="9" t="n">
        <v>1840</v>
      </c>
      <c r="I4" s="7" t="inlineStr">
        <is>
          <t>DigiKey / Magnetic Shield / Amazon US+forwarder</t>
        </is>
      </c>
      <c r="J4" s="7" t="inlineStr">
        <is>
          <t>OSMO bom.md Amazon ref</t>
        </is>
      </c>
      <c r="K4" s="11" t="inlineStr">
        <is>
          <t>high</t>
        </is>
      </c>
      <c r="L4" s="7" t="inlineStr">
        <is>
          <t>Cut 12 pcs 11×12 mm; sand both faces.</t>
        </is>
      </c>
    </row>
    <row r="5">
      <c r="A5" s="7" t="n">
        <v>4</v>
      </c>
      <c r="B5" s="7" t="inlineStr">
        <is>
          <t>Magnetics</t>
        </is>
      </c>
      <c r="C5" s="7" t="inlineStr">
        <is>
          <t>Magnequench MQFP-15-7 powder (NOT MQP)</t>
        </is>
      </c>
      <c r="D5" s="7" t="n">
        <v>20</v>
      </c>
      <c r="E5" s="7" t="inlineStr">
        <is>
          <t>g</t>
        </is>
      </c>
      <c r="F5" s="8" t="n">
        <v>12.5</v>
      </c>
      <c r="G5" s="8">
        <f>D5*F5</f>
        <v/>
      </c>
      <c r="H5" s="9" t="n">
        <v>5750</v>
      </c>
      <c r="I5" s="7" t="inlineStr">
        <is>
          <t>Magnequench sales (mqitechnology.com)</t>
        </is>
      </c>
      <c r="J5" s="7" t="inlineStr">
        <is>
          <t>Quote TBD — research small-lot estimate</t>
        </is>
      </c>
      <c r="K5" s="12" t="inlineStr">
        <is>
          <t>low</t>
        </is>
      </c>
      <c r="L5" s="7" t="inlineStr">
        <is>
          <t>Email sales; ~2–3 wk from Thailand. Hard long-lead item.</t>
        </is>
      </c>
    </row>
    <row r="6">
      <c r="A6" s="7" t="n">
        <v>5</v>
      </c>
      <c r="B6" s="7" t="inlineStr">
        <is>
          <t>Silicone</t>
        </is>
      </c>
      <c r="C6" s="7" t="inlineStr">
        <is>
          <t>Smooth-On Ecoflex 00-30 trial kit (~2 lb)</t>
        </is>
      </c>
      <c r="D6" s="7" t="n">
        <v>1</v>
      </c>
      <c r="E6" s="7" t="inlineStr">
        <is>
          <t>kit</t>
        </is>
      </c>
      <c r="F6" s="8" t="n">
        <v>36</v>
      </c>
      <c r="G6" s="8">
        <f>D6*F6</f>
        <v/>
      </c>
      <c r="H6" s="9" t="n">
        <v>830</v>
      </c>
      <c r="I6" s="7" t="inlineStr">
        <is>
          <t>Amazon.com.mx first / Smooth-On dealers</t>
        </is>
      </c>
      <c r="J6" s="7" t="inlineStr">
        <is>
          <t>Retail ~$33–51</t>
        </is>
      </c>
      <c r="K6" s="11" t="inlineStr">
        <is>
          <t>high</t>
        </is>
      </c>
      <c r="L6" s="7" t="inlineStr">
        <is>
          <t>Recipe: 8g A + 8g B + 16g MQFP.</t>
        </is>
      </c>
    </row>
    <row r="7">
      <c r="A7" s="7" t="n">
        <v>6</v>
      </c>
      <c r="B7" s="7" t="inlineStr">
        <is>
          <t>Silicone</t>
        </is>
      </c>
      <c r="C7" s="7" t="inlineStr">
        <is>
          <t>Smooth-On Sil-Poxy adhesive 3 oz</t>
        </is>
      </c>
      <c r="D7" s="7" t="n">
        <v>2</v>
      </c>
      <c r="E7" s="7" t="inlineStr">
        <is>
          <t>tube</t>
        </is>
      </c>
      <c r="F7" s="8" t="n">
        <v>33</v>
      </c>
      <c r="G7" s="8">
        <f>D7*F7</f>
        <v/>
      </c>
      <c r="H7" s="9" t="n">
        <v>1520</v>
      </c>
      <c r="I7" s="7" t="inlineStr">
        <is>
          <t>Amazon.com.mx / Smooth-On</t>
        </is>
      </c>
      <c r="J7" s="7" t="inlineStr">
        <is>
          <t>OSMO bom ~$32.88/tube</t>
        </is>
      </c>
      <c r="K7" s="11" t="inlineStr">
        <is>
          <t>high</t>
        </is>
      </c>
      <c r="L7" s="7" t="inlineStr">
        <is>
          <t>Buy 2; critical for stack insulation+bond.</t>
        </is>
      </c>
    </row>
    <row r="8">
      <c r="A8" s="7" t="n">
        <v>7</v>
      </c>
      <c r="B8" s="7" t="inlineStr">
        <is>
          <t>Wiring</t>
        </is>
      </c>
      <c r="C8" s="7" t="inlineStr">
        <is>
          <t>Enameled magnet wire 28 AWG</t>
        </is>
      </c>
      <c r="D8" s="7" t="n">
        <v>1</v>
      </c>
      <c r="E8" s="7" t="inlineStr">
        <is>
          <t>spool</t>
        </is>
      </c>
      <c r="F8" s="8" t="n">
        <v>8.789999999999999</v>
      </c>
      <c r="G8" s="8">
        <f>D8*F8</f>
        <v/>
      </c>
      <c r="H8" s="9" t="n">
        <v>200</v>
      </c>
      <c r="I8" s="7" t="inlineStr">
        <is>
          <t>Amazon.com.mx / Mercado Libre</t>
        </is>
      </c>
      <c r="J8" s="7" t="inlineStr">
        <is>
          <t>OSMO bom.md</t>
        </is>
      </c>
      <c r="K8" s="11" t="inlineStr">
        <is>
          <t>high</t>
        </is>
      </c>
      <c r="L8" s="7" t="inlineStr">
        <is>
          <t>Official substitute for Maeden tinsel.</t>
        </is>
      </c>
    </row>
    <row r="9">
      <c r="A9" s="7" t="n">
        <v>8</v>
      </c>
      <c r="B9" s="7" t="inlineStr">
        <is>
          <t>Glove</t>
        </is>
      </c>
      <c r="C9" s="7" t="inlineStr">
        <is>
          <t>Beige thin work gloves (base + outer)</t>
        </is>
      </c>
      <c r="D9" s="7" t="n">
        <v>2</v>
      </c>
      <c r="E9" s="7" t="inlineStr">
        <is>
          <t>pair</t>
        </is>
      </c>
      <c r="F9" s="8" t="n">
        <v>4</v>
      </c>
      <c r="G9" s="8">
        <f>D9*F9</f>
        <v/>
      </c>
      <c r="H9" s="9" t="n">
        <v>185</v>
      </c>
      <c r="I9" s="7" t="inlineStr">
        <is>
          <t>Amazon.com.mx / Mercado Libre</t>
        </is>
      </c>
      <c r="J9" s="7" t="inlineStr">
        <is>
          <t>OSMO pack ~$8</t>
        </is>
      </c>
      <c r="K9" s="11" t="inlineStr">
        <is>
          <t>high</t>
        </is>
      </c>
      <c r="L9" s="7" t="inlineStr">
        <is>
          <t>Match thin beige for hand tracking.</t>
        </is>
      </c>
    </row>
    <row r="10">
      <c r="A10" s="7" t="n">
        <v>9</v>
      </c>
      <c r="B10" s="7" t="inlineStr">
        <is>
          <t>Consumable</t>
        </is>
      </c>
      <c r="C10" s="7" t="inlineStr">
        <is>
          <t>Kapton (polyimide) tape</t>
        </is>
      </c>
      <c r="D10" s="7" t="n">
        <v>1</v>
      </c>
      <c r="E10" s="7" t="inlineStr">
        <is>
          <t>roll</t>
        </is>
      </c>
      <c r="F10" s="8" t="n">
        <v>9.99</v>
      </c>
      <c r="G10" s="8">
        <f>D10*F10</f>
        <v/>
      </c>
      <c r="H10" s="9" t="n">
        <v>230</v>
      </c>
      <c r="I10" s="7" t="inlineStr">
        <is>
          <t>Amazon.com.mx / Mercado Libre</t>
        </is>
      </c>
      <c r="J10" s="7" t="inlineStr">
        <is>
          <t>OSMO bom.md</t>
        </is>
      </c>
      <c r="K10" s="11" t="inlineStr">
        <is>
          <t>high</t>
        </is>
      </c>
      <c r="L10" s="7" t="inlineStr"/>
    </row>
    <row r="11">
      <c r="A11" s="7" t="n">
        <v>10</v>
      </c>
      <c r="B11" s="7" t="inlineStr">
        <is>
          <t>Programming</t>
        </is>
      </c>
      <c r="C11" s="7" t="inlineStr">
        <is>
          <t>STLINK-V3MINIE</t>
        </is>
      </c>
      <c r="D11" s="7" t="n">
        <v>1</v>
      </c>
      <c r="E11" s="7" t="inlineStr">
        <is>
          <t>ea</t>
        </is>
      </c>
      <c r="F11" s="8" t="n">
        <v>24.84</v>
      </c>
      <c r="G11" s="8">
        <f>D11*F11</f>
        <v/>
      </c>
      <c r="H11" s="9" t="n">
        <v>570</v>
      </c>
      <c r="I11" s="7" t="inlineStr">
        <is>
          <t>Mouser.mx / DigiKey</t>
        </is>
      </c>
      <c r="J11" s="7" t="inlineStr">
        <is>
          <t>DigiKey list $24.84</t>
        </is>
      </c>
      <c r="K11" s="11" t="inlineStr">
        <is>
          <t>high</t>
        </is>
      </c>
      <c r="L11" s="7" t="inlineStr">
        <is>
          <t>Prefer official over clones.</t>
        </is>
      </c>
    </row>
    <row r="12">
      <c r="A12" s="7" t="n">
        <v>11</v>
      </c>
      <c r="B12" s="7" t="inlineStr">
        <is>
          <t>Programming</t>
        </is>
      </c>
      <c r="C12" s="7" t="inlineStr">
        <is>
          <t>Tag-Connect TC2030-IDC-NL (optional)</t>
        </is>
      </c>
      <c r="D12" s="7" t="n">
        <v>1</v>
      </c>
      <c r="E12" s="7" t="inlineStr">
        <is>
          <t>ea</t>
        </is>
      </c>
      <c r="F12" s="8" t="n">
        <v>44.58</v>
      </c>
      <c r="G12" s="8">
        <f>D12*F12</f>
        <v/>
      </c>
      <c r="H12" s="9" t="n">
        <v>1025</v>
      </c>
      <c r="I12" s="7" t="inlineStr">
        <is>
          <t>Tag-Connect / DigiKey</t>
        </is>
      </c>
      <c r="J12" s="7" t="inlineStr">
        <is>
          <t>Findchips DigiKey ~$44.58</t>
        </is>
      </c>
      <c r="K12" s="11" t="inlineStr">
        <is>
          <t>high</t>
        </is>
      </c>
      <c r="L12" s="7" t="inlineStr">
        <is>
          <t>MVP skip: solder $2 SWD header instead (−$45).</t>
        </is>
      </c>
    </row>
    <row r="13">
      <c r="A13" s="7" t="n">
        <v>12</v>
      </c>
      <c r="B13" s="7" t="inlineStr">
        <is>
          <t>Cable</t>
        </is>
      </c>
      <c r="C13" s="7" t="inlineStr">
        <is>
          <t>USB-C to USB-A data cable ~3 m</t>
        </is>
      </c>
      <c r="D13" s="7" t="n">
        <v>1</v>
      </c>
      <c r="E13" s="7" t="inlineStr">
        <is>
          <t>ea</t>
        </is>
      </c>
      <c r="F13" s="8" t="n">
        <v>9.99</v>
      </c>
      <c r="G13" s="8">
        <f>D13*F13</f>
        <v/>
      </c>
      <c r="H13" s="9" t="n">
        <v>230</v>
      </c>
      <c r="I13" s="7" t="inlineStr">
        <is>
          <t>Amazon.com.mx</t>
        </is>
      </c>
      <c r="J13" s="7" t="inlineStr">
        <is>
          <t>OSMO bom.md</t>
        </is>
      </c>
      <c r="K13" s="11" t="inlineStr">
        <is>
          <t>high</t>
        </is>
      </c>
      <c r="L13" s="7" t="inlineStr">
        <is>
          <t>Must be data-capable.</t>
        </is>
      </c>
    </row>
    <row r="14">
      <c r="A14" s="7" t="n">
        <v>13</v>
      </c>
      <c r="B14" s="7" t="inlineStr">
        <is>
          <t>Tool</t>
        </is>
      </c>
      <c r="C14" s="7" t="inlineStr">
        <is>
          <t>Chip Quik flux SMD4300TF30 (optional)</t>
        </is>
      </c>
      <c r="D14" s="7" t="n">
        <v>1</v>
      </c>
      <c r="E14" s="7" t="inlineStr">
        <is>
          <t>syringe</t>
        </is>
      </c>
      <c r="F14" s="8" t="n">
        <v>39.99</v>
      </c>
      <c r="G14" s="8">
        <f>D14*F14</f>
        <v/>
      </c>
      <c r="H14" s="9" t="n">
        <v>920</v>
      </c>
      <c r="I14" s="7" t="inlineStr">
        <is>
          <t>Mouser.mx / DigiKey</t>
        </is>
      </c>
      <c r="J14" s="7" t="inlineStr">
        <is>
          <t>DigiKey list</t>
        </is>
      </c>
      <c r="K14" s="11" t="inlineStr">
        <is>
          <t>high</t>
        </is>
      </c>
      <c r="L14" s="7" t="inlineStr">
        <is>
          <t>Strongly helps tinsel/enamel joints.</t>
        </is>
      </c>
    </row>
    <row r="15">
      <c r="A15" s="7" t="n">
        <v>14</v>
      </c>
      <c r="B15" s="7" t="inlineStr">
        <is>
          <t>Tool</t>
        </is>
      </c>
      <c r="C15" s="7" t="inlineStr">
        <is>
          <t>Temperature-controlled soldering iron</t>
        </is>
      </c>
      <c r="D15" s="7" t="n">
        <v>1</v>
      </c>
      <c r="E15" s="7" t="inlineStr">
        <is>
          <t>ea</t>
        </is>
      </c>
      <c r="F15" s="8" t="n">
        <v>45</v>
      </c>
      <c r="G15" s="8">
        <f>D15*F15</f>
        <v/>
      </c>
      <c r="H15" s="9" t="n">
        <v>1035</v>
      </c>
      <c r="I15" s="7" t="inlineStr">
        <is>
          <t>Amazon.com.mx / Mercado Libre</t>
        </is>
      </c>
      <c r="J15" s="7" t="inlineStr">
        <is>
          <t>Street MX estimate</t>
        </is>
      </c>
      <c r="K15" s="10" t="inlineStr">
        <is>
          <t>med</t>
        </is>
      </c>
      <c r="L15" s="7" t="inlineStr">
        <is>
          <t>Skip if team already owns one.</t>
        </is>
      </c>
    </row>
    <row r="16">
      <c r="A16" s="7" t="n">
        <v>15</v>
      </c>
      <c r="B16" s="7" t="inlineStr">
        <is>
          <t>Tool</t>
        </is>
      </c>
      <c r="C16" s="7" t="inlineStr">
        <is>
          <t>Solder wire (Sn63/Pb37 or SAC305)</t>
        </is>
      </c>
      <c r="D16" s="7" t="n">
        <v>1</v>
      </c>
      <c r="E16" s="7" t="inlineStr">
        <is>
          <t>spool</t>
        </is>
      </c>
      <c r="F16" s="8" t="n">
        <v>12</v>
      </c>
      <c r="G16" s="8">
        <f>D16*F16</f>
        <v/>
      </c>
      <c r="H16" s="9" t="n">
        <v>275</v>
      </c>
      <c r="I16" s="7" t="inlineStr">
        <is>
          <t>Steren / Amazon.com.mx</t>
        </is>
      </c>
      <c r="J16" s="7" t="inlineStr">
        <is>
          <t>Local estimate</t>
        </is>
      </c>
      <c r="K16" s="10" t="inlineStr">
        <is>
          <t>med</t>
        </is>
      </c>
      <c r="L16" s="7" t="inlineStr"/>
    </row>
    <row r="17">
      <c r="A17" s="7" t="n">
        <v>16</v>
      </c>
      <c r="B17" s="7" t="inlineStr">
        <is>
          <t>Tool</t>
        </is>
      </c>
      <c r="C17" s="7" t="inlineStr">
        <is>
          <t>Digital multimeter (continuity)</t>
        </is>
      </c>
      <c r="D17" s="7" t="n">
        <v>1</v>
      </c>
      <c r="E17" s="7" t="inlineStr">
        <is>
          <t>ea</t>
        </is>
      </c>
      <c r="F17" s="8" t="n">
        <v>18</v>
      </c>
      <c r="G17" s="8">
        <f>D17*F17</f>
        <v/>
      </c>
      <c r="H17" s="9" t="n">
        <v>415</v>
      </c>
      <c r="I17" s="7" t="inlineStr">
        <is>
          <t>Steren MTY / Amazon.com.mx</t>
        </is>
      </c>
      <c r="J17" s="7" t="inlineStr">
        <is>
          <t>Local estimate</t>
        </is>
      </c>
      <c r="K17" s="10" t="inlineStr">
        <is>
          <t>med</t>
        </is>
      </c>
      <c r="L17" s="7" t="inlineStr"/>
    </row>
    <row r="18">
      <c r="A18" s="7" t="n">
        <v>17</v>
      </c>
      <c r="B18" s="7" t="inlineStr">
        <is>
          <t>Tool</t>
        </is>
      </c>
      <c r="C18" s="7" t="inlineStr">
        <is>
          <t>Gram scale 0.1 g resolution</t>
        </is>
      </c>
      <c r="D18" s="7" t="n">
        <v>1</v>
      </c>
      <c r="E18" s="7" t="inlineStr">
        <is>
          <t>ea</t>
        </is>
      </c>
      <c r="F18" s="8" t="n">
        <v>12</v>
      </c>
      <c r="G18" s="8">
        <f>D18*F18</f>
        <v/>
      </c>
      <c r="H18" s="9" t="n">
        <v>275</v>
      </c>
      <c r="I18" s="7" t="inlineStr">
        <is>
          <t>Amazon.com.mx</t>
        </is>
      </c>
      <c r="J18" s="7" t="inlineStr">
        <is>
          <t>Local estimate</t>
        </is>
      </c>
      <c r="K18" s="11" t="inlineStr">
        <is>
          <t>high</t>
        </is>
      </c>
      <c r="L18" s="7" t="inlineStr"/>
    </row>
    <row r="19">
      <c r="A19" s="7" t="n">
        <v>18</v>
      </c>
      <c r="B19" s="7" t="inlineStr">
        <is>
          <t>Tool</t>
        </is>
      </c>
      <c r="C19" s="7" t="inlineStr">
        <is>
          <t>Mixing cups + stir sticks</t>
        </is>
      </c>
      <c r="D19" s="7" t="n">
        <v>1</v>
      </c>
      <c r="E19" s="7" t="inlineStr">
        <is>
          <t>pack</t>
        </is>
      </c>
      <c r="F19" s="8" t="n">
        <v>8</v>
      </c>
      <c r="G19" s="8">
        <f>D19*F19</f>
        <v/>
      </c>
      <c r="H19" s="9" t="n">
        <v>185</v>
      </c>
      <c r="I19" s="7" t="inlineStr">
        <is>
          <t>Amazon.com.mx / local</t>
        </is>
      </c>
      <c r="J19" s="7" t="inlineStr">
        <is>
          <t>Local estimate</t>
        </is>
      </c>
      <c r="K19" s="11" t="inlineStr">
        <is>
          <t>high</t>
        </is>
      </c>
      <c r="L19" s="7" t="inlineStr"/>
    </row>
    <row r="20">
      <c r="A20" s="7" t="n">
        <v>19</v>
      </c>
      <c r="B20" s="7" t="inlineStr">
        <is>
          <t>Tool</t>
        </is>
      </c>
      <c r="C20" s="7" t="inlineStr">
        <is>
          <t>Cotton applicators</t>
        </is>
      </c>
      <c r="D20" s="7" t="n">
        <v>1</v>
      </c>
      <c r="E20" s="7" t="inlineStr">
        <is>
          <t>pack</t>
        </is>
      </c>
      <c r="F20" s="8" t="n">
        <v>5</v>
      </c>
      <c r="G20" s="8">
        <f>D20*F20</f>
        <v/>
      </c>
      <c r="H20" s="9" t="n">
        <v>115</v>
      </c>
      <c r="I20" s="7" t="inlineStr">
        <is>
          <t>Farmacia / Amazon.com.mx</t>
        </is>
      </c>
      <c r="J20" s="7" t="inlineStr">
        <is>
          <t>Local estimate</t>
        </is>
      </c>
      <c r="K20" s="11" t="inlineStr">
        <is>
          <t>high</t>
        </is>
      </c>
      <c r="L20" s="7" t="inlineStr"/>
    </row>
    <row r="21">
      <c r="A21" s="7" t="n">
        <v>20</v>
      </c>
      <c r="B21" s="7" t="inlineStr">
        <is>
          <t>Tool</t>
        </is>
      </c>
      <c r="C21" s="7" t="inlineStr">
        <is>
          <t>Silicone mold release spray</t>
        </is>
      </c>
      <c r="D21" s="7" t="n">
        <v>1</v>
      </c>
      <c r="E21" s="7" t="inlineStr">
        <is>
          <t>can</t>
        </is>
      </c>
      <c r="F21" s="8" t="n">
        <v>20</v>
      </c>
      <c r="G21" s="8">
        <f>D21*F21</f>
        <v/>
      </c>
      <c r="H21" s="9" t="n">
        <v>460</v>
      </c>
      <c r="I21" s="7" t="inlineStr">
        <is>
          <t>Amazon.com.mx</t>
        </is>
      </c>
      <c r="J21" s="7" t="inlineStr">
        <is>
          <t>OSMO-class estimate</t>
        </is>
      </c>
      <c r="K21" s="10" t="inlineStr">
        <is>
          <t>med</t>
        </is>
      </c>
      <c r="L21" s="7" t="inlineStr"/>
    </row>
    <row r="22">
      <c r="A22" s="7" t="n">
        <v>21</v>
      </c>
      <c r="B22" s="7" t="inlineStr">
        <is>
          <t>Tool</t>
        </is>
      </c>
      <c r="C22" s="7" t="inlineStr">
        <is>
          <t>Coarse sandpaper pack</t>
        </is>
      </c>
      <c r="D22" s="7" t="n">
        <v>1</v>
      </c>
      <c r="E22" s="7" t="inlineStr">
        <is>
          <t>pack</t>
        </is>
      </c>
      <c r="F22" s="8" t="n">
        <v>5</v>
      </c>
      <c r="G22" s="8">
        <f>D22*F22</f>
        <v/>
      </c>
      <c r="H22" s="9" t="n">
        <v>115</v>
      </c>
      <c r="I22" s="7" t="inlineStr">
        <is>
          <t>Home Depot MX</t>
        </is>
      </c>
      <c r="J22" s="7" t="inlineStr">
        <is>
          <t>Local estimate</t>
        </is>
      </c>
      <c r="K22" s="11" t="inlineStr">
        <is>
          <t>high</t>
        </is>
      </c>
      <c r="L22" s="7" t="inlineStr"/>
    </row>
    <row r="23">
      <c r="A23" s="7" t="n">
        <v>22</v>
      </c>
      <c r="B23" s="7" t="inlineStr">
        <is>
          <t>Tool</t>
        </is>
      </c>
      <c r="C23" s="7" t="inlineStr">
        <is>
          <t>Xacto / craft knife</t>
        </is>
      </c>
      <c r="D23" s="7" t="n">
        <v>1</v>
      </c>
      <c r="E23" s="7" t="inlineStr">
        <is>
          <t>ea</t>
        </is>
      </c>
      <c r="F23" s="8" t="n">
        <v>9</v>
      </c>
      <c r="G23" s="8">
        <f>D23*F23</f>
        <v/>
      </c>
      <c r="H23" s="9" t="n">
        <v>210</v>
      </c>
      <c r="I23" s="7" t="inlineStr">
        <is>
          <t>Amazon.com.mx / papelería</t>
        </is>
      </c>
      <c r="J23" s="7" t="inlineStr">
        <is>
          <t>OSMO bom.md</t>
        </is>
      </c>
      <c r="K23" s="11" t="inlineStr">
        <is>
          <t>high</t>
        </is>
      </c>
      <c r="L23" s="7" t="inlineStr"/>
    </row>
    <row r="24">
      <c r="A24" s="7" t="n">
        <v>23</v>
      </c>
      <c r="B24" s="7" t="inlineStr">
        <is>
          <t>Fab</t>
        </is>
      </c>
      <c r="C24" s="7" t="inlineStr">
        <is>
          <t>Resin 3D print fingertip + palm molds</t>
        </is>
      </c>
      <c r="D24" s="7" t="n">
        <v>1</v>
      </c>
      <c r="E24" s="7" t="inlineStr">
        <is>
          <t>set</t>
        </is>
      </c>
      <c r="F24" s="8" t="n">
        <v>60</v>
      </c>
      <c r="G24" s="8">
        <f>D24*F24</f>
        <v/>
      </c>
      <c r="H24" s="9" t="n">
        <v>1380</v>
      </c>
      <c r="I24" s="7" t="inlineStr">
        <is>
          <t>Local MTY resin print / FabLab</t>
        </is>
      </c>
      <c r="J24" s="7" t="inlineStr">
        <is>
          <t>Local quote estimate</t>
        </is>
      </c>
      <c r="K24" s="10" t="inlineStr">
        <is>
          <t>med</t>
        </is>
      </c>
      <c r="L24" s="7" t="inlineStr">
        <is>
          <t>Official STL still TODO upstream — ask authors or reverse dims.</t>
        </is>
      </c>
    </row>
    <row r="25">
      <c r="A25" s="7" t="n">
        <v>24</v>
      </c>
      <c r="B25" s="7" t="inlineStr">
        <is>
          <t>Service</t>
        </is>
      </c>
      <c r="C25" s="7" t="inlineStr">
        <is>
          <t>Pulse magnetizer access (8 s @ 2 kV)</t>
        </is>
      </c>
      <c r="D25" s="7" t="n">
        <v>1</v>
      </c>
      <c r="E25" s="7" t="inlineStr">
        <is>
          <t>access</t>
        </is>
      </c>
      <c r="F25" s="8" t="n">
        <v>0</v>
      </c>
      <c r="G25" s="8">
        <f>D25*F25</f>
        <v/>
      </c>
      <c r="H25" s="9" t="n">
        <v>0</v>
      </c>
      <c r="I25" s="7" t="inlineStr">
        <is>
          <t>Tec materials/physics lab OR Magnet-Physik service</t>
        </is>
      </c>
      <c r="J25" s="7" t="inlineStr">
        <is>
          <t>If paid service budget $200–800</t>
        </is>
      </c>
      <c r="K25" s="12" t="inlineStr">
        <is>
          <t>low</t>
        </is>
      </c>
      <c r="L25" s="7" t="inlineStr">
        <is>
          <t>BLOCKER. Do not buy the machine. Settings in OSMO bom FAQ.</t>
        </is>
      </c>
    </row>
    <row r="26">
      <c r="A26" s="7" t="n">
        <v>25</v>
      </c>
      <c r="B26" s="7" t="inlineStr">
        <is>
          <t>Seneca</t>
        </is>
      </c>
      <c r="C26" s="7" t="inlineStr">
        <is>
          <t>Head-mounted RGB camera (egocentric)</t>
        </is>
      </c>
      <c r="D26" s="7" t="n">
        <v>1</v>
      </c>
      <c r="E26" s="7" t="inlineStr">
        <is>
          <t>ea</t>
        </is>
      </c>
      <c r="F26" s="8" t="n">
        <v>150</v>
      </c>
      <c r="G26" s="8">
        <f>D26*F26</f>
        <v/>
      </c>
      <c r="H26" s="9" t="n">
        <v>3450</v>
      </c>
      <c r="I26" s="7" t="inlineStr">
        <is>
          <t>Amazon.com.mx (Action cam / Quest / RealSense)</t>
        </is>
      </c>
      <c r="J26" s="7" t="inlineStr">
        <is>
          <t>GoPro-class ballpark</t>
        </is>
      </c>
      <c r="K26" s="10" t="inlineStr">
        <is>
          <t>med</t>
        </is>
      </c>
      <c r="L26" s="7" t="inlineStr">
        <is>
          <t>Not in OSMO paper BOM.</t>
        </is>
      </c>
    </row>
    <row r="27">
      <c r="A27" s="7" t="n">
        <v>26</v>
      </c>
      <c r="B27" s="7" t="inlineStr">
        <is>
          <t>Seneca</t>
        </is>
      </c>
      <c r="C27" s="7" t="inlineStr">
        <is>
          <t>Wrist RGB camera module</t>
        </is>
      </c>
      <c r="D27" s="7" t="n">
        <v>2</v>
      </c>
      <c r="E27" s="7" t="inlineStr">
        <is>
          <t>ea</t>
        </is>
      </c>
      <c r="F27" s="8" t="n">
        <v>40</v>
      </c>
      <c r="G27" s="8">
        <f>D27*F27</f>
        <v/>
      </c>
      <c r="H27" s="9" t="n">
        <v>1840</v>
      </c>
      <c r="I27" s="7" t="inlineStr">
        <is>
          <t>Amazon.com.mx / Mercado Libre</t>
        </is>
      </c>
      <c r="J27" s="7" t="inlineStr">
        <is>
          <t>Module ballpark</t>
        </is>
      </c>
      <c r="K27" s="10" t="inlineStr">
        <is>
          <t>med</t>
        </is>
      </c>
      <c r="L27" s="7" t="inlineStr">
        <is>
          <t>Mount to cuff; software timestamp sync.</t>
        </is>
      </c>
    </row>
    <row r="28">
      <c r="A28" s="7" t="n">
        <v>27</v>
      </c>
      <c r="B28" s="7" t="inlineStr">
        <is>
          <t>Host</t>
        </is>
      </c>
      <c r="C28" s="7" t="inlineStr">
        <is>
          <t>Linux PC for ROS2 / flash / record</t>
        </is>
      </c>
      <c r="D28" s="7" t="n">
        <v>1</v>
      </c>
      <c r="E28" s="7" t="inlineStr">
        <is>
          <t>ea</t>
        </is>
      </c>
      <c r="F28" s="8" t="n">
        <v>0</v>
      </c>
      <c r="G28" s="8">
        <f>D28*F28</f>
        <v/>
      </c>
      <c r="H28" s="9" t="n">
        <v>0</v>
      </c>
      <c r="I28" s="7" t="inlineStr">
        <is>
          <t>Existing lab laptop</t>
        </is>
      </c>
      <c r="J28" s="7" t="inlineStr">
        <is>
          <t>Use what you have</t>
        </is>
      </c>
      <c r="K28" s="11" t="inlineStr">
        <is>
          <t>high</t>
        </is>
      </c>
      <c r="L28" s="7" t="inlineStr">
        <is>
          <t>If buying used mini-PC budget ~$250–400.</t>
        </is>
      </c>
    </row>
    <row r="29">
      <c r="A29" s="4" t="n"/>
      <c r="B29" s="4" t="n"/>
      <c r="C29" s="4" t="inlineStr">
        <is>
          <t>TOTAL</t>
        </is>
      </c>
      <c r="D29" s="4" t="n"/>
      <c r="E29" s="4" t="n"/>
      <c r="F29" s="4" t="n"/>
      <c r="G29" s="5">
        <f>SUM(G2:G28)</f>
        <v/>
      </c>
      <c r="H29" s="6">
        <f>SUM(H2:H28)</f>
        <v/>
      </c>
      <c r="I29" s="4" t="n"/>
      <c r="J29" s="4" t="n"/>
      <c r="K29" s="4" t="n"/>
      <c r="L29" s="4" t="n"/>
    </row>
  </sheetData>
  <autoFilter ref="A1:L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3" t="inlineStr">
        <is>
          <t>Suggested purchase order</t>
        </is>
      </c>
    </row>
    <row r="3">
      <c r="A3" t="inlineStr">
        <is>
          <t>1. Email Magnequench MQFP-15-7</t>
        </is>
      </c>
    </row>
    <row r="4">
      <c r="A4" t="inlineStr">
        <is>
          <t>2. Quote PCBA JLCPCB/PCBWay</t>
        </is>
      </c>
    </row>
    <row r="5">
      <c r="A5" t="inlineStr">
        <is>
          <t>3. Confirm Tec magnetizer</t>
        </is>
      </c>
    </row>
    <row r="6">
      <c r="A6" t="inlineStr">
        <is>
          <t>4. DigiKey/Mouser: MuMetal + ST-Link</t>
        </is>
      </c>
    </row>
    <row r="7">
      <c r="A7" t="inlineStr">
        <is>
          <t>5. Amazon MX consumables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2026-07-23T21:30:31Z</dcterms:created>
  <dcterms:modified xmlns:dcterms="http://purl.org/dc/terms/" xmlns:xsi="http://www.w3.org/2001/XMLSchema-instance" xsi:type="dcterms:W3CDTF">2026-07-23T21:30:31Z</dcterms:modified>
</cp:coreProperties>
</file>